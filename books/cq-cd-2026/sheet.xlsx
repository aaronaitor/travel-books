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程" sheetId="1" state="visible" r:id="rId1"/>
    <sheet name="预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FFF"/>
      </patternFill>
    </fill>
    <fill>
      <patternFill patternType="solid">
        <fgColor rgb="00F3F6F4"/>
      </patternFill>
    </fill>
  </fills>
  <borders count="5">
    <border>
      <left/>
      <right/>
      <top/>
      <bottom/>
      <diagonal/>
    </border>
    <border>
      <left style="thin">
        <color rgb="00B7C4BE"/>
      </left>
      <right style="thin">
        <color rgb="00B7C4BE"/>
      </right>
      <top style="thin">
        <color rgb="00B7C4BE"/>
      </top>
      <bottom style="thin">
        <color rgb="00B7C4BE"/>
      </bottom>
    </border>
    <border>
      <left style="thin">
        <color rgb="00B7C4BE"/>
      </left>
      <right/>
      <top/>
      <bottom/>
      <diagonal/>
    </border>
    <border>
      <left style="thin">
        <color rgb="00B7C4BE"/>
      </left>
      <right style="thin">
        <color rgb="00B7C4BE"/>
      </right>
      <top/>
      <bottom/>
      <diagonal/>
    </border>
    <border>
      <left style="thin">
        <color rgb="00B7C4BE"/>
      </left>
      <right style="thin">
        <color rgb="00B7C4BE"/>
      </right>
      <top/>
      <bottom style="thin">
        <color rgb="00B7C4BE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top" wrapText="1"/>
    </xf>
    <xf numFmtId="4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46" customWidth="1" min="4" max="4"/>
    <col width="52" customWidth="1" min="5" max="5"/>
    <col width="16" customWidth="1" min="6" max="6"/>
  </cols>
  <sheetData>
    <row r="1">
      <c r="A1" s="1" t="inlineStr">
        <is>
          <t>CNY/MYR</t>
        </is>
      </c>
      <c r="B1" s="1" t="inlineStr">
        <is>
          <t>日期</t>
        </is>
      </c>
      <c r="C1" s="1" t="inlineStr">
        <is>
          <t>时间</t>
        </is>
      </c>
      <c r="D1" s="1" t="inlineStr">
        <is>
          <t>地点</t>
        </is>
      </c>
      <c r="E1" s="1" t="inlineStr">
        <is>
          <t>详情</t>
        </is>
      </c>
      <c r="F1" s="1" t="inlineStr">
        <is>
          <t>公共交通预算/人</t>
        </is>
      </c>
    </row>
    <row r="2">
      <c r="A2" s="1" t="n">
        <v>0.6071723999999999</v>
      </c>
      <c r="B2" s="1" t="n"/>
      <c r="C2" s="1" t="n"/>
      <c r="D2" s="1" t="n"/>
      <c r="E2" s="1" t="n"/>
      <c r="F2" s="1" t="n"/>
    </row>
    <row r="3">
      <c r="A3" s="2" t="inlineStr">
        <is>
          <t>闲隅江景艺术酒店（解放碑洪崖洞店）</t>
        </is>
      </c>
      <c r="B3" s="2" t="inlineStr">
        <is>
          <t>第1天
23-3-2026 (一)</t>
        </is>
      </c>
      <c r="C3" s="3" t="inlineStr">
        <is>
          <t>01:30 - 05:50</t>
        </is>
      </c>
      <c r="D3" s="3" t="inlineStr">
        <is>
          <t>KUL T1 -&gt; SZX T3</t>
        </is>
      </c>
      <c r="E3" s="3" t="inlineStr">
        <is>
          <t>1359.85myr/人
南方航空（4时20分）</t>
        </is>
      </c>
      <c r="F3" s="2" t="inlineStr">
        <is>
          <t>地铁 - 6rmb</t>
        </is>
      </c>
    </row>
    <row r="4">
      <c r="A4" s="4" t="n"/>
      <c r="B4" s="4" t="n"/>
      <c r="C4" s="3" t="inlineStr">
        <is>
          <t>05:50 - 08:05</t>
        </is>
      </c>
      <c r="D4" s="3" t="inlineStr">
        <is>
          <t>SZX T3</t>
        </is>
      </c>
      <c r="E4" s="3" t="inlineStr">
        <is>
          <t>转机（2时15分）</t>
        </is>
      </c>
      <c r="F4" s="4" t="n"/>
    </row>
    <row r="5">
      <c r="A5" s="4" t="n"/>
      <c r="B5" s="4" t="n"/>
      <c r="C5" s="3" t="inlineStr">
        <is>
          <t>08:05 - 10:35</t>
        </is>
      </c>
      <c r="D5" s="3" t="inlineStr">
        <is>
          <t>SZX T3 -&gt; CKG T3</t>
        </is>
      </c>
      <c r="E5" s="3" t="inlineStr">
        <is>
          <t>南方航空（2时30分）</t>
        </is>
      </c>
      <c r="F5" s="4" t="n"/>
    </row>
    <row r="6">
      <c r="A6" s="4" t="n"/>
      <c r="B6" s="4" t="n"/>
      <c r="C6" s="3" t="inlineStr">
        <is>
          <t>10:35 - 10:55</t>
        </is>
      </c>
      <c r="D6" s="3" t="inlineStr">
        <is>
          <t>CKG T3</t>
        </is>
      </c>
      <c r="E6" s="3" t="inlineStr">
        <is>
          <t>入境</t>
        </is>
      </c>
      <c r="F6" s="4" t="n"/>
    </row>
    <row r="7">
      <c r="A7" s="4" t="n"/>
      <c r="B7" s="4" t="n"/>
      <c r="C7" s="3" t="inlineStr">
        <is>
          <t>10:55 - 12:15</t>
        </is>
      </c>
      <c r="D7" s="3" t="inlineStr">
        <is>
          <t>CKG T3 -&gt; 江北机场T3航站楼（10号线）-&gt; 红土地（6号线）-&gt; 小什字 -&gt; 酒店</t>
        </is>
      </c>
      <c r="E7" s="3" t="inlineStr">
        <is>
          <t>a. 地铁（1时）- 6rmb/人 + 打车（10分）</t>
        </is>
      </c>
      <c r="F7" s="4" t="n"/>
    </row>
    <row r="8">
      <c r="A8" s="4" t="n"/>
      <c r="B8" s="4" t="n"/>
      <c r="C8" s="3" t="inlineStr">
        <is>
          <t>12:15 - 15:30</t>
        </is>
      </c>
      <c r="D8" s="3" t="inlineStr">
        <is>
          <t>酒店</t>
        </is>
      </c>
      <c r="E8" s="3" t="inlineStr">
        <is>
          <t>入住，休息</t>
        </is>
      </c>
      <c r="F8" s="4" t="n"/>
    </row>
    <row r="9">
      <c r="A9" s="4" t="n"/>
      <c r="B9" s="4" t="n"/>
      <c r="C9" s="3" t="inlineStr">
        <is>
          <t>15:30 - 15:40</t>
        </is>
      </c>
      <c r="D9" s="3" t="inlineStr">
        <is>
          <t>酒店 -&gt; 八一路美食街</t>
        </is>
      </c>
      <c r="E9" s="3" t="inlineStr">
        <is>
          <t>a. 步行（10分）</t>
        </is>
      </c>
      <c r="F9" s="4" t="n"/>
    </row>
    <row r="10">
      <c r="A10" s="4" t="n"/>
      <c r="B10" s="4" t="n"/>
      <c r="C10" s="3" t="inlineStr">
        <is>
          <t>15:40 - 17:30</t>
        </is>
      </c>
      <c r="D10" s="3" t="inlineStr">
        <is>
          <t>八一路美食街，解放碑步行街</t>
        </is>
      </c>
      <c r="E10" s="3" t="inlineStr">
        <is>
          <t>小吃：
1. 重庆小面（八一店）
2. 华哥山城羊肉串
3. 龙掌柜</t>
        </is>
      </c>
      <c r="F10" s="4" t="n"/>
    </row>
    <row r="11">
      <c r="A11" s="4" t="n"/>
      <c r="B11" s="4" t="n"/>
      <c r="C11" s="3" t="inlineStr">
        <is>
          <t>17:30 - 17:50</t>
        </is>
      </c>
      <c r="D11" s="3" t="inlineStr">
        <is>
          <t>八一路美食街 -&gt; 来福士</t>
        </is>
      </c>
      <c r="E11" s="3" t="inlineStr">
        <is>
          <t>a. 步行（20分）</t>
        </is>
      </c>
      <c r="F11" s="4" t="n"/>
    </row>
    <row r="12">
      <c r="A12" s="4" t="n"/>
      <c r="B12" s="4" t="n"/>
      <c r="C12" s="3" t="inlineStr">
        <is>
          <t>17:50 - 18:15</t>
        </is>
      </c>
      <c r="D12" s="3" t="inlineStr">
        <is>
          <t>来福士</t>
        </is>
      </c>
      <c r="E12" s="3" t="inlineStr">
        <is>
          <t>打卡</t>
        </is>
      </c>
      <c r="F12" s="4" t="n"/>
    </row>
    <row r="13">
      <c r="A13" s="4" t="n"/>
      <c r="B13" s="4" t="n"/>
      <c r="C13" s="3" t="inlineStr">
        <is>
          <t>18:15 - 18:25</t>
        </is>
      </c>
      <c r="D13" s="3" t="inlineStr">
        <is>
          <t>来福士 -&gt; 洪崖洞</t>
        </is>
      </c>
      <c r="E13" s="3" t="inlineStr">
        <is>
          <t>a. 步行（10分）</t>
        </is>
      </c>
      <c r="F13" s="4" t="n"/>
    </row>
    <row r="14">
      <c r="A14" s="4" t="n"/>
      <c r="B14" s="4" t="n"/>
      <c r="C14" s="3" t="inlineStr">
        <is>
          <t>18:25 - 21:00</t>
        </is>
      </c>
      <c r="D14" s="3" t="inlineStr">
        <is>
          <t>洪崖洞，千厮门大桥</t>
        </is>
      </c>
      <c r="E14" s="3" t="inlineStr">
        <is>
          <t>打卡
洪崖洞（亮灯 18:30 - 23:00）
千厮门大桥（亮灯 19:30 - 21:30）
晚餐：
1. 黄姐烤兔</t>
        </is>
      </c>
      <c r="F14" s="4" t="n"/>
    </row>
    <row r="15">
      <c r="A15" s="4" t="n"/>
      <c r="B15" s="4" t="n"/>
      <c r="C15" s="3" t="inlineStr">
        <is>
          <t>21:00 - 21:15</t>
        </is>
      </c>
      <c r="D15" s="3" t="inlineStr">
        <is>
          <t>洪崖洞 -&gt; 解放碑</t>
        </is>
      </c>
      <c r="E15" s="3" t="inlineStr">
        <is>
          <t>a. 步行（15分）</t>
        </is>
      </c>
      <c r="F15" s="4" t="n"/>
    </row>
    <row r="16">
      <c r="A16" s="4" t="n"/>
      <c r="B16" s="4" t="n"/>
      <c r="C16" s="3" t="inlineStr">
        <is>
          <t>21:15 - 21:45</t>
        </is>
      </c>
      <c r="D16" s="3" t="inlineStr">
        <is>
          <t>解放碑</t>
        </is>
      </c>
      <c r="E16" s="3" t="inlineStr">
        <is>
          <t>宵夜：
1. 五花肉糯米饭</t>
        </is>
      </c>
      <c r="F16" s="4" t="n"/>
    </row>
    <row r="17">
      <c r="A17" s="4" t="n"/>
      <c r="B17" s="4" t="n"/>
      <c r="C17" s="3" t="inlineStr">
        <is>
          <t>21:45 - 22:00</t>
        </is>
      </c>
      <c r="D17" s="3" t="inlineStr">
        <is>
          <t>解放碑 -&gt; 酒店</t>
        </is>
      </c>
      <c r="E17" s="3" t="inlineStr">
        <is>
          <t>a. 步行（10分）</t>
        </is>
      </c>
      <c r="F17" s="4" t="n"/>
    </row>
    <row r="18">
      <c r="A18" s="4" t="n"/>
      <c r="B18" s="5" t="n"/>
      <c r="C18" s="3" t="inlineStr">
        <is>
          <t>22:00 - 束</t>
        </is>
      </c>
      <c r="D18" s="3" t="inlineStr">
        <is>
          <t>酒店</t>
        </is>
      </c>
      <c r="E18" s="3" t="inlineStr">
        <is>
          <t>睡觉</t>
        </is>
      </c>
      <c r="F18" s="5" t="n"/>
    </row>
    <row r="19">
      <c r="A19" s="4" t="n"/>
      <c r="B19" s="6" t="inlineStr">
        <is>
          <t>第2天
24-3-2026 (二)</t>
        </is>
      </c>
      <c r="C19" s="7" t="inlineStr">
        <is>
          <t>09:00 - 09:30</t>
        </is>
      </c>
      <c r="D19" s="7" t="inlineStr">
        <is>
          <t>酒店</t>
        </is>
      </c>
      <c r="E19" s="7" t="inlineStr">
        <is>
          <t>早餐：川香饼局</t>
        </is>
      </c>
      <c r="F19" s="6" t="inlineStr">
        <is>
          <t>地铁 - 2rmb</t>
        </is>
      </c>
    </row>
    <row r="20">
      <c r="A20" s="4" t="n"/>
      <c r="B20" s="4" t="n"/>
      <c r="C20" s="7" t="inlineStr">
        <is>
          <t>09:30 - 10:10</t>
        </is>
      </c>
      <c r="D20" s="7" t="inlineStr">
        <is>
          <t>酒店 -&gt; 小什字（1号线）-&gt; 两路口 -&gt; 萤火虫港湾猫猫主题公园</t>
        </is>
      </c>
      <c r="E20" s="7" t="inlineStr">
        <is>
          <t>a. 地铁（10分）+ 打车（10分）- 2rmb/人</t>
        </is>
      </c>
      <c r="F20" s="4" t="n"/>
    </row>
    <row r="21">
      <c r="A21" s="4" t="n"/>
      <c r="B21" s="4" t="n"/>
      <c r="C21" s="7" t="inlineStr">
        <is>
          <t>10:10 - 12:30</t>
        </is>
      </c>
      <c r="D21" s="7" t="inlineStr">
        <is>
          <t>萤火虫港湾猫猫主题公园</t>
        </is>
      </c>
      <c r="E21" s="7" t="inlineStr">
        <is>
          <t>20rmb/人 - 提前一天预约</t>
        </is>
      </c>
      <c r="F21" s="4" t="n"/>
    </row>
    <row r="22">
      <c r="A22" s="4" t="n"/>
      <c r="B22" s="4" t="n"/>
      <c r="C22" s="7" t="inlineStr">
        <is>
          <t>12:30 - 12:55</t>
        </is>
      </c>
      <c r="D22" s="7" t="inlineStr">
        <is>
          <t>萤火虫港湾猫猫主题公园 -&gt; 老地方猫儿面（磁器口店）</t>
        </is>
      </c>
      <c r="E22" s="7" t="inlineStr">
        <is>
          <t>a. 打车（25分）</t>
        </is>
      </c>
      <c r="F22" s="4" t="n"/>
    </row>
    <row r="23">
      <c r="A23" s="4" t="n"/>
      <c r="B23" s="4" t="n"/>
      <c r="C23" s="7" t="inlineStr">
        <is>
          <t>12:55 - 13:30</t>
        </is>
      </c>
      <c r="D23" s="7" t="inlineStr">
        <is>
          <t>老地方猫儿面（磁器口店）</t>
        </is>
      </c>
      <c r="E23" s="7" t="inlineStr">
        <is>
          <t>午餐</t>
        </is>
      </c>
      <c r="F23" s="4" t="n"/>
    </row>
    <row r="24">
      <c r="A24" s="4" t="n"/>
      <c r="B24" s="4" t="n"/>
      <c r="C24" s="7" t="inlineStr">
        <is>
          <t>13:30 - 14:55</t>
        </is>
      </c>
      <c r="D24" s="7" t="inlineStr">
        <is>
          <t>磁器口古镇</t>
        </is>
      </c>
      <c r="E24" s="7" t="inlineStr">
        <is>
          <t>逛逛
1. 陈昌银麻花
2. 奈雪的茶</t>
        </is>
      </c>
      <c r="F24" s="4" t="n"/>
    </row>
    <row r="25">
      <c r="A25" s="4" t="n"/>
      <c r="B25" s="4" t="n"/>
      <c r="C25" s="7" t="inlineStr">
        <is>
          <t>14:55 - 15:00</t>
        </is>
      </c>
      <c r="D25" s="7" t="inlineStr">
        <is>
          <t>磁器口古镇 -&gt; 重庆1949大剧院</t>
        </is>
      </c>
      <c r="E25" s="7" t="inlineStr">
        <is>
          <t>a. 步行（5分）</t>
        </is>
      </c>
      <c r="F25" s="4" t="n"/>
    </row>
    <row r="26">
      <c r="A26" s="4" t="n"/>
      <c r="B26" s="4" t="n"/>
      <c r="C26" s="7" t="inlineStr">
        <is>
          <t>15:00 - 17:15</t>
        </is>
      </c>
      <c r="D26" s="7" t="inlineStr">
        <is>
          <t>重庆1949大剧院</t>
        </is>
      </c>
      <c r="E26" s="7" t="inlineStr">
        <is>
          <t>184.93myr/人</t>
        </is>
      </c>
      <c r="F26" s="4" t="n"/>
    </row>
    <row r="27">
      <c r="A27" s="4" t="n"/>
      <c r="B27" s="4" t="n"/>
      <c r="C27" s="7" t="inlineStr">
        <is>
          <t>17:15 - 17:50</t>
        </is>
      </c>
      <c r="D27" s="7" t="inlineStr">
        <is>
          <t>重庆1949大剧院 -&gt; 观音桥好吃街</t>
        </is>
      </c>
      <c r="E27" s="7" t="inlineStr">
        <is>
          <t>a. 打车（35分）</t>
        </is>
      </c>
      <c r="F27" s="4" t="n"/>
    </row>
    <row r="28">
      <c r="A28" s="4" t="n"/>
      <c r="B28" s="4" t="n"/>
      <c r="C28" s="7" t="inlineStr">
        <is>
          <t>17:50 - 20:30</t>
        </is>
      </c>
      <c r="D28" s="7" t="inlineStr">
        <is>
          <t>观音桥好吃街，星光68广场</t>
        </is>
      </c>
      <c r="E28" s="7" t="inlineStr">
        <is>
          <t>晚餐：
1. 丁孃孃火锅（观音桥店）</t>
        </is>
      </c>
      <c r="F28" s="4" t="n"/>
    </row>
    <row r="29">
      <c r="A29" s="4" t="n"/>
      <c r="B29" s="4" t="n"/>
      <c r="C29" s="7" t="inlineStr">
        <is>
          <t>20:30 - 21:00</t>
        </is>
      </c>
      <c r="D29" s="7" t="inlineStr">
        <is>
          <t>观音桥 -&gt; 重庆光环购物公园</t>
        </is>
      </c>
      <c r="E29" s="7" t="inlineStr">
        <is>
          <t>a. 打车（30分）</t>
        </is>
      </c>
      <c r="F29" s="4" t="n"/>
    </row>
    <row r="30">
      <c r="A30" s="4" t="n"/>
      <c r="B30" s="4" t="n"/>
      <c r="C30" s="7" t="inlineStr">
        <is>
          <t>21:00 - 23:00</t>
        </is>
      </c>
      <c r="D30" s="7" t="inlineStr">
        <is>
          <t>重庆光环购物公园</t>
        </is>
      </c>
      <c r="E30" s="7" t="inlineStr">
        <is>
          <t>逛逛
1. 1点点
2. KKV</t>
        </is>
      </c>
      <c r="F30" s="4" t="n"/>
    </row>
    <row r="31">
      <c r="A31" s="4" t="n"/>
      <c r="B31" s="4" t="n"/>
      <c r="C31" s="7" t="inlineStr">
        <is>
          <t>23:00 - 23:30</t>
        </is>
      </c>
      <c r="D31" s="7" t="inlineStr">
        <is>
          <t>重庆光环购物公园 -&gt; 酒店</t>
        </is>
      </c>
      <c r="E31" s="7" t="inlineStr">
        <is>
          <t>a. 打车（30分）</t>
        </is>
      </c>
      <c r="F31" s="4" t="n"/>
    </row>
    <row r="32">
      <c r="A32" s="5" t="n"/>
      <c r="B32" s="5" t="n"/>
      <c r="C32" s="7" t="inlineStr">
        <is>
          <t>23:30 - 束</t>
        </is>
      </c>
      <c r="D32" s="7" t="inlineStr">
        <is>
          <t>酒店</t>
        </is>
      </c>
      <c r="E32" s="7" t="inlineStr">
        <is>
          <t>睡觉</t>
        </is>
      </c>
      <c r="F32" s="5" t="n"/>
    </row>
    <row r="33">
      <c r="A33" s="2" t="inlineStr">
        <is>
          <t>花筑·仙女山夜宴客栈（游客接待中心店）</t>
        </is>
      </c>
      <c r="B33" s="2" t="inlineStr">
        <is>
          <t>第3天
25-3-2026 (三)</t>
        </is>
      </c>
      <c r="C33" s="3" t="inlineStr">
        <is>
          <t>06:30 - 07:00</t>
        </is>
      </c>
      <c r="D33" s="3" t="inlineStr">
        <is>
          <t>酒店 -&gt; 重庆东站</t>
        </is>
      </c>
      <c r="E33" s="3" t="inlineStr">
        <is>
          <t>a. 打车（30分）</t>
        </is>
      </c>
      <c r="F33" s="2" t="inlineStr"/>
    </row>
    <row r="34">
      <c r="A34" s="4" t="n"/>
      <c r="B34" s="4" t="n"/>
      <c r="C34" s="3" t="inlineStr">
        <is>
          <t>07:00 - 08:30</t>
        </is>
      </c>
      <c r="D34" s="3" t="inlineStr">
        <is>
          <t>重庆东站 -&gt; 武隆南站</t>
        </is>
      </c>
      <c r="E34" s="3" t="inlineStr">
        <is>
          <t>班次：
07:26 - 08:13（47分）- 80rmb/人</t>
        </is>
      </c>
      <c r="F34" s="4" t="n"/>
    </row>
    <row r="35">
      <c r="A35" s="4" t="n"/>
      <c r="B35" s="4" t="n"/>
      <c r="C35" s="3" t="inlineStr">
        <is>
          <t>08:30 - 09:30</t>
        </is>
      </c>
      <c r="D35" s="3" t="inlineStr">
        <is>
          <t>武隆南站 -&gt; 仙女山游客中心</t>
        </is>
      </c>
      <c r="E35" s="3" t="inlineStr">
        <is>
          <t>a. 蓝色大巴（45分）- 16rmb/人</t>
        </is>
      </c>
      <c r="F35" s="4" t="n"/>
    </row>
    <row r="36">
      <c r="A36" s="4" t="n"/>
      <c r="B36" s="4" t="n"/>
      <c r="C36" s="3" t="inlineStr">
        <is>
          <t>09:30 - 10:30</t>
        </is>
      </c>
      <c r="D36" s="3" t="inlineStr">
        <is>
          <t>仙女山游客中心 -&gt; 酒店 -&gt; 仙女山游客中心</t>
        </is>
      </c>
      <c r="E36" s="3" t="inlineStr">
        <is>
          <t>a. 步行（寄存行李）</t>
        </is>
      </c>
      <c r="F36" s="4" t="n"/>
    </row>
    <row r="37">
      <c r="A37" s="4" t="n"/>
      <c r="B37" s="4" t="n"/>
      <c r="C37" s="3" t="inlineStr">
        <is>
          <t>10:30 - 11:00</t>
        </is>
      </c>
      <c r="D37" s="3" t="inlineStr">
        <is>
          <t>仙女山游客中心 -&gt; 天生三桥</t>
        </is>
      </c>
      <c r="E37" s="3" t="inlineStr">
        <is>
          <t>a. 旅游大巴（20分）- 门票包含</t>
        </is>
      </c>
      <c r="F37" s="4" t="n"/>
    </row>
    <row r="38">
      <c r="A38" s="4" t="n"/>
      <c r="B38" s="4" t="n"/>
      <c r="C38" s="3" t="inlineStr">
        <is>
          <t>11:00 - 13:30</t>
        </is>
      </c>
      <c r="D38" s="3" t="inlineStr">
        <is>
          <t>天生三桥</t>
        </is>
      </c>
      <c r="E38" s="3" t="inlineStr">
        <is>
          <t>提前1天在武隆景区官方平台
入门票，电梯，大巴 - 155rmb/人</t>
        </is>
      </c>
      <c r="F38" s="4" t="n"/>
    </row>
    <row r="39">
      <c r="A39" s="4" t="n"/>
      <c r="B39" s="4" t="n"/>
      <c r="C39" s="3" t="inlineStr">
        <is>
          <t>13:30 - 14:30</t>
        </is>
      </c>
      <c r="D39" s="3" t="inlineStr">
        <is>
          <t>天生三桥 -&gt; 仙女山游客中心</t>
        </is>
      </c>
      <c r="E39" s="3" t="inlineStr">
        <is>
          <t>a. 旅游大巴（30分）- 门票包含</t>
        </is>
      </c>
      <c r="F39" s="4" t="n"/>
    </row>
    <row r="40">
      <c r="A40" s="4" t="n"/>
      <c r="B40" s="4" t="n"/>
      <c r="C40" s="3" t="inlineStr">
        <is>
          <t>14:30 - 19:15</t>
        </is>
      </c>
      <c r="D40" s="3" t="inlineStr">
        <is>
          <t>酒店</t>
        </is>
      </c>
      <c r="E40" s="3" t="inlineStr">
        <is>
          <t>入住，休息</t>
        </is>
      </c>
      <c r="F40" s="4" t="n"/>
    </row>
    <row r="41">
      <c r="A41" s="4" t="n"/>
      <c r="B41" s="4" t="n"/>
      <c r="C41" s="3" t="inlineStr">
        <is>
          <t>19:15 - 19:20</t>
        </is>
      </c>
      <c r="D41" s="3" t="inlineStr">
        <is>
          <t>酒店 -&gt; 蜀香居农家菜</t>
        </is>
      </c>
      <c r="E41" s="3" t="inlineStr">
        <is>
          <t>a. 步行（5分）</t>
        </is>
      </c>
      <c r="F41" s="4" t="n"/>
    </row>
    <row r="42">
      <c r="A42" s="4" t="n"/>
      <c r="B42" s="4" t="n"/>
      <c r="C42" s="3" t="inlineStr">
        <is>
          <t>19:20 - 20:30</t>
        </is>
      </c>
      <c r="D42" s="3" t="inlineStr">
        <is>
          <t>蜀香居农家菜</t>
        </is>
      </c>
      <c r="E42" s="3" t="inlineStr">
        <is>
          <t>晚餐</t>
        </is>
      </c>
      <c r="F42" s="4" t="n"/>
    </row>
    <row r="43">
      <c r="A43" s="4" t="n"/>
      <c r="B43" s="4" t="n"/>
      <c r="C43" s="3" t="inlineStr">
        <is>
          <t>20:30 - 20:35</t>
        </is>
      </c>
      <c r="D43" s="3" t="inlineStr">
        <is>
          <t>蜀香居农家菜 -&gt; 酒店</t>
        </is>
      </c>
      <c r="E43" s="3" t="inlineStr">
        <is>
          <t>a. 步行（5分）</t>
        </is>
      </c>
      <c r="F43" s="4" t="n"/>
    </row>
    <row r="44">
      <c r="A44" s="5" t="n"/>
      <c r="B44" s="5" t="n"/>
      <c r="C44" s="3" t="inlineStr">
        <is>
          <t>20:35 - 束</t>
        </is>
      </c>
      <c r="D44" s="3" t="inlineStr">
        <is>
          <t>酒店</t>
        </is>
      </c>
      <c r="E44" s="3" t="inlineStr">
        <is>
          <t>宵夜，睡觉</t>
        </is>
      </c>
      <c r="F44" s="5" t="n"/>
    </row>
    <row r="45">
      <c r="A45" s="6" t="inlineStr">
        <is>
          <t>如家酒店·neo(成都春熙路太古里书院街店)</t>
        </is>
      </c>
      <c r="B45" s="6" t="inlineStr">
        <is>
          <t>第4天
26-3-2026 (四)</t>
        </is>
      </c>
      <c r="C45" s="7" t="inlineStr">
        <is>
          <t>08:30 - 09:15</t>
        </is>
      </c>
      <c r="D45" s="7" t="inlineStr">
        <is>
          <t>酒店</t>
        </is>
      </c>
      <c r="E45" s="7" t="inlineStr">
        <is>
          <t>退房，早餐</t>
        </is>
      </c>
      <c r="F45" s="6" t="inlineStr">
        <is>
          <t>地铁 - 3rmb</t>
        </is>
      </c>
    </row>
    <row r="46">
      <c r="A46" s="4" t="n"/>
      <c r="B46" s="4" t="n"/>
      <c r="C46" s="7" t="inlineStr">
        <is>
          <t>09:15 - 09:45</t>
        </is>
      </c>
      <c r="D46" s="7" t="inlineStr">
        <is>
          <t>仙女山游客中心 -&gt; 仙女山森林公园</t>
        </is>
      </c>
      <c r="E46" s="7" t="inlineStr">
        <is>
          <t>a. 旅游大巴（30分）- 8rmb/人</t>
        </is>
      </c>
      <c r="F46" s="4" t="n"/>
    </row>
    <row r="47">
      <c r="A47" s="4" t="n"/>
      <c r="B47" s="4" t="n"/>
      <c r="C47" s="7" t="inlineStr">
        <is>
          <t>09:45 - 12:00</t>
        </is>
      </c>
      <c r="D47" s="7" t="inlineStr">
        <is>
          <t>仙女山森林公园</t>
        </is>
      </c>
      <c r="E47" s="7" t="inlineStr">
        <is>
          <t>提前1天在武隆景区官方平台
入门票 - 50rmb/人
小火车 - 25rmb/人</t>
        </is>
      </c>
      <c r="F47" s="4" t="n"/>
    </row>
    <row r="48">
      <c r="A48" s="4" t="n"/>
      <c r="B48" s="4" t="n"/>
      <c r="C48" s="7" t="inlineStr">
        <is>
          <t>12:00 - 13:00</t>
        </is>
      </c>
      <c r="D48" s="7" t="inlineStr">
        <is>
          <t>仙女山森林公园 -&gt; 仙女山游客中心 -&gt; 酒店 -&gt; 仙女山游客中心</t>
        </is>
      </c>
      <c r="E48" s="7" t="inlineStr">
        <is>
          <t>a. 旅游大巴（30分）- 8rmb/人</t>
        </is>
      </c>
      <c r="F48" s="4" t="n"/>
    </row>
    <row r="49">
      <c r="A49" s="4" t="n"/>
      <c r="B49" s="4" t="n"/>
      <c r="C49" s="7" t="inlineStr">
        <is>
          <t>13:00 - 14:00</t>
        </is>
      </c>
      <c r="D49" s="7" t="inlineStr">
        <is>
          <t>仙女山游客中心 -&gt; 武隆南站</t>
        </is>
      </c>
      <c r="E49" s="7" t="inlineStr">
        <is>
          <t>a. 蓝色大巴（45分）- 16rmb/人</t>
        </is>
      </c>
      <c r="F49" s="4" t="n"/>
    </row>
    <row r="50">
      <c r="A50" s="4" t="n"/>
      <c r="B50" s="4" t="n"/>
      <c r="C50" s="7" t="inlineStr">
        <is>
          <t>14:00 - 15:00</t>
        </is>
      </c>
      <c r="D50" s="7" t="inlineStr">
        <is>
          <t>武隆南站</t>
        </is>
      </c>
      <c r="E50" s="7" t="inlineStr">
        <is>
          <t>午餐（零食）</t>
        </is>
      </c>
      <c r="F50" s="4" t="n"/>
    </row>
    <row r="51">
      <c r="A51" s="4" t="n"/>
      <c r="B51" s="4" t="n"/>
      <c r="C51" s="7" t="inlineStr">
        <is>
          <t>15:00 - 18:30</t>
        </is>
      </c>
      <c r="D51" s="7" t="inlineStr">
        <is>
          <t>武隆南站（6B检票口） -&gt; 成都东站</t>
        </is>
      </c>
      <c r="E51" s="7" t="inlineStr">
        <is>
          <t>班次：
15:17 - 18:25（3时8分）- 251rmb/人</t>
        </is>
      </c>
      <c r="F51" s="4" t="n"/>
    </row>
    <row r="52">
      <c r="A52" s="4" t="n"/>
      <c r="B52" s="4" t="n"/>
      <c r="C52" s="7" t="inlineStr">
        <is>
          <t>18:30 - 19:05</t>
        </is>
      </c>
      <c r="D52" s="7" t="inlineStr">
        <is>
          <t>成都东站 -&gt; 成都东客站（2号线）-&gt; 春熙路（3号线） -&gt; 市二医院（B口）-&gt; 酒店</t>
        </is>
      </c>
      <c r="E52" s="7" t="inlineStr">
        <is>
          <t>a. 地铁（30分）- 3rmb/人</t>
        </is>
      </c>
      <c r="F52" s="4" t="n"/>
    </row>
    <row r="53">
      <c r="A53" s="4" t="n"/>
      <c r="B53" s="4" t="n"/>
      <c r="C53" s="7" t="inlineStr">
        <is>
          <t>19:05 - 19:40</t>
        </is>
      </c>
      <c r="D53" s="7" t="inlineStr">
        <is>
          <t>酒店</t>
        </is>
      </c>
      <c r="E53" s="7" t="inlineStr">
        <is>
          <t>入住</t>
        </is>
      </c>
      <c r="F53" s="4" t="n"/>
    </row>
    <row r="54">
      <c r="A54" s="4" t="n"/>
      <c r="B54" s="4" t="n"/>
      <c r="C54" s="7" t="inlineStr">
        <is>
          <t>19:40 - 20:00</t>
        </is>
      </c>
      <c r="D54" s="7" t="inlineStr">
        <is>
          <t>酒店 -&gt; IFS国际金融中心</t>
        </is>
      </c>
      <c r="E54" s="7" t="inlineStr">
        <is>
          <t>a. 步行（15分）</t>
        </is>
      </c>
      <c r="F54" s="4" t="n"/>
    </row>
    <row r="55">
      <c r="A55" s="4" t="n"/>
      <c r="B55" s="4" t="n"/>
      <c r="C55" s="7" t="inlineStr">
        <is>
          <t>20:00 - 21:40</t>
        </is>
      </c>
      <c r="D55" s="7" t="inlineStr">
        <is>
          <t>IFS国际金融中心，爬墙熊猫</t>
        </is>
      </c>
      <c r="E55" s="7" t="inlineStr">
        <is>
          <t>打卡
晚餐：野果（成都IFS国金店）</t>
        </is>
      </c>
      <c r="F55" s="4" t="n"/>
    </row>
    <row r="56">
      <c r="A56" s="4" t="n"/>
      <c r="B56" s="4" t="n"/>
      <c r="C56" s="7" t="inlineStr">
        <is>
          <t>21:40 - 22:00</t>
        </is>
      </c>
      <c r="D56" s="7" t="inlineStr">
        <is>
          <t>IFS国际金融中心 -&gt; 酒店</t>
        </is>
      </c>
      <c r="E56" s="7" t="inlineStr">
        <is>
          <t>a. 步行（15分）</t>
        </is>
      </c>
      <c r="F56" s="4" t="n"/>
    </row>
    <row r="57">
      <c r="A57" s="4" t="n"/>
      <c r="B57" s="5" t="n"/>
      <c r="C57" s="7" t="inlineStr">
        <is>
          <t>22:00 - 束</t>
        </is>
      </c>
      <c r="D57" s="7" t="inlineStr">
        <is>
          <t>酒店</t>
        </is>
      </c>
      <c r="E57" s="7" t="inlineStr">
        <is>
          <t>睡觉</t>
        </is>
      </c>
      <c r="F57" s="5" t="n"/>
    </row>
    <row r="58">
      <c r="A58" s="4" t="n"/>
      <c r="B58" s="2" t="inlineStr">
        <is>
          <t>第5天
27-3-2026 (五)</t>
        </is>
      </c>
      <c r="C58" s="3" t="inlineStr">
        <is>
          <t>09:10 - 10:00</t>
        </is>
      </c>
      <c r="D58" s="3" t="inlineStr">
        <is>
          <t>酒店 -&gt; 市二医院（B口）（3号线）-&gt; 熊猫大道 -&gt; 熊猫大道站（408路）-&gt; 成都大熊猫繁殖研究基地</t>
        </is>
      </c>
      <c r="E58" s="3" t="inlineStr">
        <is>
          <t>a. 地铁 + 巴士（45分）- 5rmb/人</t>
        </is>
      </c>
      <c r="F58" s="2" t="inlineStr">
        <is>
          <t>地铁 + 巴士 - 5rmb</t>
        </is>
      </c>
    </row>
    <row r="59">
      <c r="A59" s="4" t="n"/>
      <c r="B59" s="4" t="n"/>
      <c r="C59" s="3" t="inlineStr">
        <is>
          <t>10:00 - 13:30</t>
        </is>
      </c>
      <c r="D59" s="3" t="inlineStr">
        <is>
          <t>成都大熊猫繁殖研究基地</t>
        </is>
      </c>
      <c r="E59" s="3" t="inlineStr">
        <is>
          <t>提前3天《成都熊猫基地票务》买票
门票 - 55rmb/人
观光车 - 30rmb/人
午餐：
1. 熊猫星厨
2. 茶姬</t>
        </is>
      </c>
      <c r="F59" s="4" t="n"/>
    </row>
    <row r="60">
      <c r="A60" s="4" t="n"/>
      <c r="B60" s="4" t="n"/>
      <c r="C60" s="3" t="inlineStr">
        <is>
          <t>13:30 - 14:15</t>
        </is>
      </c>
      <c r="D60" s="3" t="inlineStr">
        <is>
          <t>成都大熊猫繁殖研究基地 -&gt; 成都市植物园</t>
        </is>
      </c>
      <c r="E60" s="3" t="inlineStr">
        <is>
          <t>a. 打车（15分）</t>
        </is>
      </c>
      <c r="F60" s="4" t="n"/>
    </row>
    <row r="61">
      <c r="A61" s="4" t="n"/>
      <c r="B61" s="4" t="n"/>
      <c r="C61" s="3" t="inlineStr">
        <is>
          <t>14:15 - 15:00</t>
        </is>
      </c>
      <c r="D61" s="3" t="inlineStr">
        <is>
          <t>成都市植物园</t>
        </is>
      </c>
      <c r="E61" s="3" t="inlineStr">
        <is>
          <t>樱花 - 10rmb/人</t>
        </is>
      </c>
      <c r="F61" s="4" t="n"/>
    </row>
    <row r="62">
      <c r="A62" s="4" t="n"/>
      <c r="B62" s="4" t="n"/>
      <c r="C62" s="3" t="inlineStr">
        <is>
          <t>15:00 - 15:30</t>
        </is>
      </c>
      <c r="D62" s="3" t="inlineStr">
        <is>
          <t>成都市植物园 -&gt; 东郊记忆</t>
        </is>
      </c>
      <c r="E62" s="3" t="inlineStr">
        <is>
          <t>a. 打车（25分）</t>
        </is>
      </c>
      <c r="F62" s="4" t="n"/>
    </row>
    <row r="63">
      <c r="A63" s="4" t="n"/>
      <c r="B63" s="4" t="n"/>
      <c r="C63" s="3" t="inlineStr">
        <is>
          <t>15:30 - 19:30</t>
        </is>
      </c>
      <c r="D63" s="3" t="inlineStr">
        <is>
          <t>东郊记忆</t>
        </is>
      </c>
      <c r="E63" s="3" t="inlineStr">
        <is>
          <t>逛逛
1. 凸凸食堂</t>
        </is>
      </c>
      <c r="F63" s="4" t="n"/>
    </row>
    <row r="64">
      <c r="A64" s="4" t="n"/>
      <c r="B64" s="4" t="n"/>
      <c r="C64" s="3" t="inlineStr">
        <is>
          <t>19:30 - 20:00</t>
        </is>
      </c>
      <c r="D64" s="3" t="inlineStr">
        <is>
          <t>东郊记忆 -&gt; 望平街</t>
        </is>
      </c>
      <c r="E64" s="3" t="inlineStr">
        <is>
          <t>a. 打车（25分）</t>
        </is>
      </c>
      <c r="F64" s="4" t="n"/>
    </row>
    <row r="65">
      <c r="A65" s="4" t="n"/>
      <c r="B65" s="4" t="n"/>
      <c r="C65" s="3" t="inlineStr">
        <is>
          <t>20:00 - 21:15</t>
        </is>
      </c>
      <c r="D65" s="3" t="inlineStr">
        <is>
          <t>望平街</t>
        </is>
      </c>
      <c r="E65" s="3" t="inlineStr">
        <is>
          <t>晚餐：
1. 牛宗师贵州牛肉米粉（望平街店）
2. HIBAKE</t>
        </is>
      </c>
      <c r="F65" s="4" t="n"/>
    </row>
    <row r="66">
      <c r="A66" s="4" t="n"/>
      <c r="B66" s="4" t="n"/>
      <c r="C66" s="3" t="inlineStr">
        <is>
          <t>21:15 - 21:30</t>
        </is>
      </c>
      <c r="D66" s="3" t="inlineStr">
        <is>
          <t>望平街 -&gt; 太古里</t>
        </is>
      </c>
      <c r="E66" s="3" t="inlineStr">
        <is>
          <t>a. 步行（15分）</t>
        </is>
      </c>
      <c r="F66" s="4" t="n"/>
    </row>
    <row r="67">
      <c r="A67" s="4" t="n"/>
      <c r="B67" s="4" t="n"/>
      <c r="C67" s="3" t="inlineStr">
        <is>
          <t>21:30 - 22:45</t>
        </is>
      </c>
      <c r="D67" s="3" t="inlineStr">
        <is>
          <t>太古里</t>
        </is>
      </c>
      <c r="E67" s="3" t="inlineStr">
        <is>
          <t>1. Truffe Boulangerie by B&amp;C</t>
        </is>
      </c>
      <c r="F67" s="4" t="n"/>
    </row>
    <row r="68">
      <c r="A68" s="4" t="n"/>
      <c r="B68" s="4" t="n"/>
      <c r="C68" s="3" t="inlineStr">
        <is>
          <t>22:45 - 23:00</t>
        </is>
      </c>
      <c r="D68" s="3" t="inlineStr">
        <is>
          <t>太古里 -&gt; 酒店</t>
        </is>
      </c>
      <c r="E68" s="3" t="inlineStr">
        <is>
          <t>a. 步行（10分）</t>
        </is>
      </c>
      <c r="F68" s="4" t="n"/>
    </row>
    <row r="69">
      <c r="A69" s="4" t="n"/>
      <c r="B69" s="5" t="n"/>
      <c r="C69" s="3" t="inlineStr">
        <is>
          <t>23:00 - 束</t>
        </is>
      </c>
      <c r="D69" s="3" t="inlineStr">
        <is>
          <t>酒店</t>
        </is>
      </c>
      <c r="E69" s="3" t="inlineStr">
        <is>
          <t>睡觉</t>
        </is>
      </c>
      <c r="F69" s="5" t="n"/>
    </row>
    <row r="70">
      <c r="A70" s="4" t="n"/>
      <c r="B70" s="6" t="inlineStr">
        <is>
          <t>第6天
28-3-2026 (六)</t>
        </is>
      </c>
      <c r="C70" s="7" t="inlineStr">
        <is>
          <t>09:30 - 09:50</t>
        </is>
      </c>
      <c r="D70" s="7" t="inlineStr">
        <is>
          <t>酒店 -&gt; 春熙路</t>
        </is>
      </c>
      <c r="E70" s="7" t="inlineStr">
        <is>
          <t>a. 步行（15分）</t>
        </is>
      </c>
      <c r="F70" s="6" t="inlineStr">
        <is>
          <t>地铁 - 6rmb</t>
        </is>
      </c>
    </row>
    <row r="71">
      <c r="A71" s="4" t="n"/>
      <c r="B71" s="4" t="n"/>
      <c r="C71" s="7" t="inlineStr">
        <is>
          <t>09:50 - 11:30</t>
        </is>
      </c>
      <c r="D71" s="7" t="inlineStr">
        <is>
          <t>春熙路 -&gt; 三星堆博物馆</t>
        </is>
      </c>
      <c r="E71" s="7" t="inlineStr">
        <is>
          <t>a. 文旅大巴（1时40分）- 25rmb/人</t>
        </is>
      </c>
      <c r="F71" s="4" t="n"/>
    </row>
    <row r="72">
      <c r="A72" s="4" t="n"/>
      <c r="B72" s="4" t="n"/>
      <c r="C72" s="7" t="inlineStr">
        <is>
          <t>11:30 - 13:30</t>
        </is>
      </c>
      <c r="D72" s="7" t="inlineStr">
        <is>
          <t>三星堆博物馆</t>
        </is>
      </c>
      <c r="E72" s="7" t="inlineStr">
        <is>
          <t>入门票 - 72rmb/人</t>
        </is>
      </c>
      <c r="F72" s="4" t="n"/>
    </row>
    <row r="73">
      <c r="A73" s="4" t="n"/>
      <c r="B73" s="4" t="n"/>
      <c r="C73" s="7" t="inlineStr">
        <is>
          <t>13:50 - 15:30</t>
        </is>
      </c>
      <c r="D73" s="7" t="inlineStr">
        <is>
          <t>三星堆博物馆 -&gt; 春熙路</t>
        </is>
      </c>
      <c r="E73" s="7" t="inlineStr">
        <is>
          <t>a. 景区直通车（1时40分）- 25rmb/人</t>
        </is>
      </c>
      <c r="F73" s="4" t="n"/>
    </row>
    <row r="74">
      <c r="A74" s="4" t="n"/>
      <c r="B74" s="4" t="n"/>
      <c r="C74" s="7" t="inlineStr">
        <is>
          <t>15:30 - 16:15</t>
        </is>
      </c>
      <c r="D74" s="7" t="inlineStr">
        <is>
          <t>酒店</t>
        </is>
      </c>
      <c r="E74" s="7" t="inlineStr">
        <is>
          <t>休息</t>
        </is>
      </c>
      <c r="F74" s="4" t="n"/>
    </row>
    <row r="75">
      <c r="A75" s="4" t="n"/>
      <c r="B75" s="4" t="n"/>
      <c r="C75" s="7" t="inlineStr">
        <is>
          <t>16:15 - 16:30</t>
        </is>
      </c>
      <c r="D75" s="7" t="inlineStr">
        <is>
          <t>酒店 -&gt; 东郊记忆</t>
        </is>
      </c>
      <c r="E75" s="7" t="inlineStr">
        <is>
          <t>a. 打车（15分）</t>
        </is>
      </c>
      <c r="F75" s="4" t="n"/>
    </row>
    <row r="76">
      <c r="A76" s="4" t="n"/>
      <c r="B76" s="4" t="n"/>
      <c r="C76" s="7" t="inlineStr">
        <is>
          <t>16:30 - 17:45</t>
        </is>
      </c>
      <c r="D76" s="7" t="inlineStr">
        <is>
          <t>东郊记忆</t>
        </is>
      </c>
      <c r="E76" s="7" t="inlineStr">
        <is>
          <t>逛逛</t>
        </is>
      </c>
      <c r="F76" s="4" t="n"/>
    </row>
    <row r="77">
      <c r="A77" s="4" t="n"/>
      <c r="B77" s="4" t="n"/>
      <c r="C77" s="7" t="inlineStr">
        <is>
          <t>17:45 - 18:20</t>
        </is>
      </c>
      <c r="D77" s="7" t="inlineStr">
        <is>
          <t>东郊记忆 -&gt; 杉板桥 -&gt; 宽窄巷子</t>
        </is>
      </c>
      <c r="E77" s="7" t="inlineStr">
        <is>
          <t>a. 地铁（30分）- 4rmb/人</t>
        </is>
      </c>
      <c r="F77" s="4" t="n"/>
    </row>
    <row r="78">
      <c r="A78" s="4" t="n"/>
      <c r="B78" s="4" t="n"/>
      <c r="C78" s="7" t="inlineStr">
        <is>
          <t>18:20 - 19:25</t>
        </is>
      </c>
      <c r="D78" s="7" t="inlineStr">
        <is>
          <t>宽窄巷子景区</t>
        </is>
      </c>
      <c r="E78" s="7" t="inlineStr">
        <is>
          <t>逛逛</t>
        </is>
      </c>
      <c r="F78" s="4" t="n"/>
    </row>
    <row r="79">
      <c r="A79" s="4" t="n"/>
      <c r="B79" s="4" t="n"/>
      <c r="C79" s="7" t="inlineStr">
        <is>
          <t>19:25 - 19:40</t>
        </is>
      </c>
      <c r="D79" s="7" t="inlineStr">
        <is>
          <t>宽窄巷子 -&gt; 通惠门 -&gt; 春熙路</t>
        </is>
      </c>
      <c r="E79" s="7" t="inlineStr">
        <is>
          <t>a. 地铁（15分）- 2rmb/人</t>
        </is>
      </c>
      <c r="F79" s="4" t="n"/>
    </row>
    <row r="80">
      <c r="A80" s="4" t="n"/>
      <c r="B80" s="4" t="n"/>
      <c r="C80" s="7" t="inlineStr">
        <is>
          <t>19:40 - 21:15</t>
        </is>
      </c>
      <c r="D80" s="7" t="inlineStr">
        <is>
          <t>春熙路，太古里</t>
        </is>
      </c>
      <c r="E80" s="7" t="inlineStr">
        <is>
          <t>1. 品味tasre（银石广场店）
2. 廣泰門鲜糕点店
3. toti（纱帽街）</t>
        </is>
      </c>
      <c r="F80" s="4" t="n"/>
    </row>
    <row r="81">
      <c r="A81" s="4" t="n"/>
      <c r="B81" s="4" t="n"/>
      <c r="C81" s="7" t="inlineStr">
        <is>
          <t>21:15 - 21:30</t>
        </is>
      </c>
      <c r="D81" s="7" t="inlineStr">
        <is>
          <t>春熙路 -&gt; 酒店</t>
        </is>
      </c>
      <c r="E81" s="7" t="inlineStr">
        <is>
          <t>a. 步行（15分）</t>
        </is>
      </c>
      <c r="F81" s="4" t="n"/>
    </row>
    <row r="82">
      <c r="A82" s="5" t="n"/>
      <c r="B82" s="5" t="n"/>
      <c r="C82" s="7" t="inlineStr">
        <is>
          <t>21:30 - 束</t>
        </is>
      </c>
      <c r="D82" s="7" t="inlineStr">
        <is>
          <t>酒店</t>
        </is>
      </c>
      <c r="E82" s="7" t="inlineStr">
        <is>
          <t>宵夜（外带），睡觉</t>
        </is>
      </c>
      <c r="F82" s="5" t="n"/>
    </row>
    <row r="83">
      <c r="A83" s="2" t="inlineStr">
        <is>
          <t>雾归里江景行政公馆 (重庆南滨路喜马拉雅店)</t>
        </is>
      </c>
      <c r="B83" s="2" t="inlineStr">
        <is>
          <t>第7天
29-3-2026 (日)</t>
        </is>
      </c>
      <c r="C83" s="3" t="inlineStr">
        <is>
          <t>08:30 - 10:50</t>
        </is>
      </c>
      <c r="D83" s="3" t="inlineStr">
        <is>
          <t>酒店</t>
        </is>
      </c>
      <c r="E83" s="3" t="inlineStr">
        <is>
          <t>早餐，退房</t>
        </is>
      </c>
      <c r="F83" s="2" t="inlineStr">
        <is>
          <t>地铁 + 巴士 - 12rmb</t>
        </is>
      </c>
    </row>
    <row r="84">
      <c r="A84" s="4" t="n"/>
      <c r="B84" s="4" t="n"/>
      <c r="C84" s="3" t="inlineStr">
        <is>
          <t>10:50 - 11:25</t>
        </is>
      </c>
      <c r="D84" s="3" t="inlineStr">
        <is>
          <t>酒店 -&gt; 市二医院（B口）（3号线）-&gt; 春熙路（2号线） -&gt; 成都东客站（西出口） -&gt; 成都东站</t>
        </is>
      </c>
      <c r="E84" s="3" t="inlineStr">
        <is>
          <t>a. 地铁（30分）- 3rmb/人</t>
        </is>
      </c>
      <c r="F84" s="4" t="n"/>
    </row>
    <row r="85">
      <c r="A85" s="4" t="n"/>
      <c r="B85" s="4" t="n"/>
      <c r="C85" s="3" t="inlineStr">
        <is>
          <t>11:25 - 13:40</t>
        </is>
      </c>
      <c r="D85" s="3" t="inlineStr">
        <is>
          <t>成都东站 -&gt; 重庆北站</t>
        </is>
      </c>
      <c r="E85" s="3" t="inlineStr">
        <is>
          <t>班次：
12:07 - 13:34（1时27分）- 161rmb/人</t>
        </is>
      </c>
      <c r="F85" s="4" t="n"/>
    </row>
    <row r="86">
      <c r="A86" s="4" t="n"/>
      <c r="B86" s="4" t="n"/>
      <c r="C86" s="3" t="inlineStr">
        <is>
          <t>13:40 - 14:40</t>
        </is>
      </c>
      <c r="D86" s="3" t="inlineStr">
        <is>
          <t>重庆北站 -&gt; 重庆北站南广场（环线）-&gt; 涂山 -&gt; 酒店</t>
        </is>
      </c>
      <c r="E86" s="3" t="inlineStr">
        <is>
          <t>a. 地铁（20分）- 3rmb/人 + 打车（10分）</t>
        </is>
      </c>
      <c r="F86" s="4" t="n"/>
    </row>
    <row r="87">
      <c r="A87" s="4" t="n"/>
      <c r="B87" s="4" t="n"/>
      <c r="C87" s="3" t="inlineStr">
        <is>
          <t>14:40 - 15:45</t>
        </is>
      </c>
      <c r="D87" s="3" t="inlineStr">
        <is>
          <t>酒店</t>
        </is>
      </c>
      <c r="E87" s="3" t="inlineStr">
        <is>
          <t>入住</t>
        </is>
      </c>
      <c r="F87" s="4" t="n"/>
    </row>
    <row r="88">
      <c r="A88" s="4" t="n"/>
      <c r="B88" s="4" t="n"/>
      <c r="C88" s="3" t="inlineStr">
        <is>
          <t>15:45 - 16:15</t>
        </is>
      </c>
      <c r="D88" s="3" t="inlineStr">
        <is>
          <t>酒店 -&gt; 南滨路钟楼（375路）-&gt; 宏声路口 -&gt; 长江国际写字楼【南滨路江边】</t>
        </is>
      </c>
      <c r="E88" s="3" t="inlineStr">
        <is>
          <t>a. 巴士（30分）- 2rmb/人</t>
        </is>
      </c>
      <c r="F88" s="4" t="n"/>
    </row>
    <row r="89">
      <c r="A89" s="4" t="n"/>
      <c r="B89" s="4" t="n"/>
      <c r="C89" s="3" t="inlineStr">
        <is>
          <t>16:15 - 16:50</t>
        </is>
      </c>
      <c r="D89" s="3" t="inlineStr">
        <is>
          <t>长江国际写字楼【南滨路江边】</t>
        </is>
      </c>
      <c r="E89" s="3" t="inlineStr">
        <is>
          <t>打卡</t>
        </is>
      </c>
      <c r="F89" s="4" t="n"/>
    </row>
    <row r="90">
      <c r="A90" s="4" t="n"/>
      <c r="B90" s="4" t="n"/>
      <c r="C90" s="3" t="inlineStr">
        <is>
          <t>16:50 - 17:20</t>
        </is>
      </c>
      <c r="D90" s="3" t="inlineStr">
        <is>
          <t>长江国际写字楼【南滨路江边】-&gt; 宏声路口（375路）-&gt; 东水门大桥 -&gt; 下浩里</t>
        </is>
      </c>
      <c r="E90" s="3" t="inlineStr">
        <is>
          <t>a. 巴士（30分）- 2rmb/人</t>
        </is>
      </c>
      <c r="F90" s="4" t="n"/>
    </row>
    <row r="91">
      <c r="A91" s="4" t="n"/>
      <c r="B91" s="4" t="n"/>
      <c r="C91" s="3" t="inlineStr">
        <is>
          <t>17:20 - 20:15</t>
        </is>
      </c>
      <c r="D91" s="3" t="inlineStr">
        <is>
          <t>下浩里</t>
        </is>
      </c>
      <c r="E91" s="3" t="inlineStr">
        <is>
          <t>1. 山不深合作社（下浩里店）
2. 嘞是耍市酱汁小海鲜</t>
        </is>
      </c>
      <c r="F91" s="4" t="n"/>
    </row>
    <row r="92">
      <c r="A92" s="4" t="n"/>
      <c r="B92" s="4" t="n"/>
      <c r="C92" s="3" t="inlineStr">
        <is>
          <t>20:15 - 20:45</t>
        </is>
      </c>
      <c r="D92" s="3" t="inlineStr">
        <is>
          <t>下浩里 -&gt; 东水门大桥（375路）-&gt; 南滨路钟楼 -&gt; 酒店</t>
        </is>
      </c>
      <c r="E92" s="3" t="inlineStr">
        <is>
          <t>a. 巴士（30分）- 2rmb/人</t>
        </is>
      </c>
      <c r="F92" s="4" t="n"/>
    </row>
    <row r="93">
      <c r="A93" s="4" t="n"/>
      <c r="B93" s="5" t="n"/>
      <c r="C93" s="3" t="inlineStr">
        <is>
          <t>20:45 - 束</t>
        </is>
      </c>
      <c r="D93" s="3" t="inlineStr">
        <is>
          <t>酒店</t>
        </is>
      </c>
      <c r="E93" s="3" t="inlineStr">
        <is>
          <t>睡觉</t>
        </is>
      </c>
      <c r="F93" s="5" t="n"/>
    </row>
    <row r="94">
      <c r="A94" s="4" t="n"/>
      <c r="B94" s="6" t="inlineStr">
        <is>
          <t>第8天
30-3-2026 (一)</t>
        </is>
      </c>
      <c r="C94" s="7" t="inlineStr">
        <is>
          <t>09:30 - 10:00</t>
        </is>
      </c>
      <c r="D94" s="7" t="inlineStr">
        <is>
          <t>酒店 -&gt; 十八梯</t>
        </is>
      </c>
      <c r="E94" s="7" t="inlineStr">
        <is>
          <t>a. 打车（25分）</t>
        </is>
      </c>
      <c r="F94" s="6" t="inlineStr"/>
    </row>
    <row r="95">
      <c r="A95" s="4" t="n"/>
      <c r="B95" s="4" t="n"/>
      <c r="C95" s="7" t="inlineStr">
        <is>
          <t>10:00 - 11:45</t>
        </is>
      </c>
      <c r="D95" s="7" t="inlineStr">
        <is>
          <t>十八梯</t>
        </is>
      </c>
      <c r="E95" s="7" t="inlineStr">
        <is>
          <t>逛逛</t>
        </is>
      </c>
      <c r="F95" s="4" t="n"/>
    </row>
    <row r="96">
      <c r="A96" s="4" t="n"/>
      <c r="B96" s="4" t="n"/>
      <c r="C96" s="7" t="inlineStr">
        <is>
          <t>11:45 - 12:00</t>
        </is>
      </c>
      <c r="D96" s="7" t="inlineStr">
        <is>
          <t>十八梯 -&gt; 山城步道</t>
        </is>
      </c>
      <c r="E96" s="7" t="inlineStr">
        <is>
          <t>a. 步行（15分）</t>
        </is>
      </c>
      <c r="F96" s="4" t="n"/>
    </row>
    <row r="97">
      <c r="A97" s="4" t="n"/>
      <c r="B97" s="4" t="n"/>
      <c r="C97" s="7" t="inlineStr">
        <is>
          <t>12:00 - 12:20</t>
        </is>
      </c>
      <c r="D97" s="7" t="inlineStr">
        <is>
          <t>山城步道</t>
        </is>
      </c>
      <c r="E97" s="7" t="inlineStr">
        <is>
          <t>打卡</t>
        </is>
      </c>
      <c r="F97" s="4" t="n"/>
    </row>
    <row r="98">
      <c r="A98" s="4" t="n"/>
      <c r="B98" s="4" t="n"/>
      <c r="C98" s="7" t="inlineStr">
        <is>
          <t>12:20 - 12:35</t>
        </is>
      </c>
      <c r="D98" s="7" t="inlineStr">
        <is>
          <t>山城步道 -&gt; 十八梯</t>
        </is>
      </c>
      <c r="E98" s="7" t="inlineStr">
        <is>
          <t>a. 步行（15分）</t>
        </is>
      </c>
      <c r="F98" s="4" t="n"/>
    </row>
    <row r="99">
      <c r="A99" s="4" t="n"/>
      <c r="B99" s="4" t="n"/>
      <c r="C99" s="7" t="inlineStr">
        <is>
          <t>12:35 - 13:45</t>
        </is>
      </c>
      <c r="D99" s="7" t="inlineStr">
        <is>
          <t>十八梯</t>
        </is>
      </c>
      <c r="E99" s="7" t="inlineStr">
        <is>
          <t>午餐：
1. 晓卖部家的蛋卷
2. 老烧饼
3. 人民咖啡馆（十八梯主街店）</t>
        </is>
      </c>
      <c r="F99" s="4" t="n"/>
    </row>
    <row r="100">
      <c r="A100" s="4" t="n"/>
      <c r="B100" s="4" t="n"/>
      <c r="C100" s="7" t="inlineStr">
        <is>
          <t>13:45 - 14:30</t>
        </is>
      </c>
      <c r="D100" s="7" t="inlineStr">
        <is>
          <t>十八梯 -&gt; 它它派对（八一广场店）</t>
        </is>
      </c>
      <c r="E100" s="7" t="inlineStr">
        <is>
          <t>a. 步行（15分）</t>
        </is>
      </c>
      <c r="F100" s="4" t="n"/>
    </row>
    <row r="101">
      <c r="A101" s="4" t="n"/>
      <c r="B101" s="4" t="n"/>
      <c r="C101" s="7" t="inlineStr">
        <is>
          <t>14:30 - 16:00</t>
        </is>
      </c>
      <c r="D101" s="7" t="inlineStr">
        <is>
          <t>它它派对（八一广场店）</t>
        </is>
      </c>
      <c r="E101" s="7" t="inlineStr">
        <is>
          <t>异宠·羊驼·猫狗咖啡馆</t>
        </is>
      </c>
      <c r="F101" s="4" t="n"/>
    </row>
    <row r="102">
      <c r="A102" s="4" t="n"/>
      <c r="B102" s="4" t="n"/>
      <c r="C102" s="7" t="inlineStr">
        <is>
          <t>16:00 - 18:45</t>
        </is>
      </c>
      <c r="D102" s="7" t="inlineStr">
        <is>
          <t>解放碑，八一路</t>
        </is>
      </c>
      <c r="E102" s="7" t="inlineStr">
        <is>
          <t>逛逛
1. 怪味胡豆</t>
        </is>
      </c>
      <c r="F102" s="4" t="n"/>
    </row>
    <row r="103">
      <c r="A103" s="4" t="n"/>
      <c r="B103" s="4" t="n"/>
      <c r="C103" s="7" t="inlineStr">
        <is>
          <t>18:45 - 19:15</t>
        </is>
      </c>
      <c r="D103" s="7" t="inlineStr">
        <is>
          <t>解放碑 -&gt; 酒店</t>
        </is>
      </c>
      <c r="E103" s="7" t="inlineStr">
        <is>
          <t>a. 打车（25分）</t>
        </is>
      </c>
      <c r="F103" s="4" t="n"/>
    </row>
    <row r="104">
      <c r="A104" s="5" t="n"/>
      <c r="B104" s="5" t="n"/>
      <c r="C104" s="7" t="inlineStr">
        <is>
          <t>19:15 - 束</t>
        </is>
      </c>
      <c r="D104" s="7" t="inlineStr">
        <is>
          <t>酒店</t>
        </is>
      </c>
      <c r="E104" s="7" t="inlineStr">
        <is>
          <t>睡觉</t>
        </is>
      </c>
      <c r="F104" s="5" t="n"/>
    </row>
    <row r="105">
      <c r="A105" s="2" t="inlineStr"/>
      <c r="B105" s="2" t="inlineStr">
        <is>
          <t>第9天
31-3-2026 (二)</t>
        </is>
      </c>
      <c r="C105" s="3" t="inlineStr">
        <is>
          <t>04:20 - 05:00</t>
        </is>
      </c>
      <c r="D105" s="3" t="inlineStr">
        <is>
          <t>酒店 -&gt; CKG T3</t>
        </is>
      </c>
      <c r="E105" s="3" t="inlineStr">
        <is>
          <t>a. 打车（35分）</t>
        </is>
      </c>
      <c r="F105" s="2" t="inlineStr"/>
    </row>
    <row r="106">
      <c r="A106" s="4" t="n"/>
      <c r="B106" s="4" t="n"/>
      <c r="C106" s="3" t="inlineStr">
        <is>
          <t>05:00 - 07:30</t>
        </is>
      </c>
      <c r="D106" s="3" t="inlineStr">
        <is>
          <t>CKG T3</t>
        </is>
      </c>
      <c r="E106" s="3" t="inlineStr">
        <is>
          <t>出境</t>
        </is>
      </c>
      <c r="F106" s="4" t="n"/>
    </row>
    <row r="107">
      <c r="A107" s="4" t="n"/>
      <c r="B107" s="4" t="n"/>
      <c r="C107" s="3" t="inlineStr">
        <is>
          <t>07:30 - 09:40</t>
        </is>
      </c>
      <c r="D107" s="3" t="inlineStr">
        <is>
          <t>CKG T3 -&gt; CAN T2</t>
        </is>
      </c>
      <c r="E107" s="3" t="inlineStr">
        <is>
          <t>南方航空（2时10分）</t>
        </is>
      </c>
      <c r="F107" s="4" t="n"/>
    </row>
    <row r="108">
      <c r="A108" s="4" t="n"/>
      <c r="B108" s="4" t="n"/>
      <c r="C108" s="3" t="inlineStr">
        <is>
          <t>09:40 - 11:20</t>
        </is>
      </c>
      <c r="D108" s="3" t="inlineStr">
        <is>
          <t>CAN T2</t>
        </is>
      </c>
      <c r="E108" s="3" t="inlineStr">
        <is>
          <t>转机（1时40分）</t>
        </is>
      </c>
      <c r="F108" s="4" t="n"/>
    </row>
    <row r="109">
      <c r="A109" s="5" t="n"/>
      <c r="B109" s="5" t="n"/>
      <c r="C109" s="3" t="inlineStr">
        <is>
          <t>11:20 - 15:40</t>
        </is>
      </c>
      <c r="D109" s="3" t="inlineStr">
        <is>
          <t>CAN T2 -&gt; KUL T1</t>
        </is>
      </c>
      <c r="E109" s="3" t="inlineStr">
        <is>
          <t>南方航空（4时20分）</t>
        </is>
      </c>
      <c r="F109" s="5" t="n"/>
    </row>
  </sheetData>
  <mergeCells count="28">
    <mergeCell ref="F83:F93"/>
    <mergeCell ref="A105:A109"/>
    <mergeCell ref="B33:B44"/>
    <mergeCell ref="C1:C2"/>
    <mergeCell ref="E1:E2"/>
    <mergeCell ref="F58:F69"/>
    <mergeCell ref="B70:B82"/>
    <mergeCell ref="F105:F109"/>
    <mergeCell ref="F45:F57"/>
    <mergeCell ref="F70:F82"/>
    <mergeCell ref="F94:F104"/>
    <mergeCell ref="B1:B2"/>
    <mergeCell ref="F19:F32"/>
    <mergeCell ref="B83:B93"/>
    <mergeCell ref="A3:A32"/>
    <mergeCell ref="B3:B18"/>
    <mergeCell ref="B58:B69"/>
    <mergeCell ref="A45:A82"/>
    <mergeCell ref="B45:B57"/>
    <mergeCell ref="B105:B109"/>
    <mergeCell ref="A83:A104"/>
    <mergeCell ref="F3:F18"/>
    <mergeCell ref="B94:B104"/>
    <mergeCell ref="F33:F44"/>
    <mergeCell ref="A33:A44"/>
    <mergeCell ref="D1:D2"/>
    <mergeCell ref="F1:F2"/>
    <mergeCell ref="B19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汇率</t>
        </is>
      </c>
      <c r="B1" s="1" t="inlineStr">
        <is>
          <t>中间市场</t>
        </is>
      </c>
      <c r="C1" s="1" t="inlineStr">
        <is>
          <t>Wise</t>
        </is>
      </c>
      <c r="D1" s="1" t="inlineStr">
        <is>
          <t>现金</t>
        </is>
      </c>
    </row>
    <row r="2">
      <c r="A2" s="8" t="inlineStr">
        <is>
          <t>CNY/MYR</t>
        </is>
      </c>
      <c r="B2" s="8" t="n">
        <v>0.6071723999999999</v>
      </c>
      <c r="C2" s="8" t="n">
        <v>0.5651827756</v>
      </c>
      <c r="D2" s="8" t="n">
        <v>0.596</v>
      </c>
    </row>
    <row r="3">
      <c r="A3" s="8" t="inlineStr">
        <is>
          <t>MYR/CNY</t>
        </is>
      </c>
      <c r="B3" s="9">
        <f>IF(B2="","",1/B2)</f>
        <v/>
      </c>
      <c r="C3" s="9">
        <f>IF(C2="","",1/C2)</f>
        <v/>
      </c>
      <c r="D3" s="9">
        <f>IF(D2="","",1/D2)</f>
        <v/>
      </c>
    </row>
    <row r="5">
      <c r="A5" s="1" t="inlineStr"/>
      <c r="B5" s="1" t="inlineStr"/>
      <c r="C5" s="1" t="inlineStr">
        <is>
          <t>2人</t>
        </is>
      </c>
      <c r="D5" s="1" t="inlineStr">
        <is>
          <t>人</t>
        </is>
      </c>
      <c r="E5" s="1" t="inlineStr">
        <is>
          <t>人（总）</t>
        </is>
      </c>
    </row>
    <row r="6">
      <c r="A6" s="8" t="inlineStr">
        <is>
          <t>机票</t>
        </is>
      </c>
      <c r="B6" s="10" t="inlineStr">
        <is>
          <t>南方航空</t>
        </is>
      </c>
      <c r="C6" s="11" t="n">
        <v>2719.7</v>
      </c>
      <c r="D6" s="11">
        <f>IF(C6="","",C6/2)</f>
        <v/>
      </c>
      <c r="E6" s="12">
        <f>SUM(D6:D6)</f>
        <v/>
      </c>
    </row>
    <row r="7">
      <c r="A7" s="8" t="inlineStr">
        <is>
          <t>酒店</t>
        </is>
      </c>
      <c r="B7" s="10" t="inlineStr">
        <is>
          <t>闲隅江景艺术酒店（解放碑洪崖洞店）</t>
        </is>
      </c>
      <c r="C7" s="11" t="n">
        <v>294.94</v>
      </c>
      <c r="D7" s="11">
        <f>IF(C7="","",C7/2)</f>
        <v/>
      </c>
      <c r="E7" s="12">
        <f>SUM(D7:D10)</f>
        <v/>
      </c>
    </row>
    <row r="8">
      <c r="A8" s="10" t="n"/>
      <c r="B8" s="10" t="inlineStr">
        <is>
          <t>花筑·仙女山夜宴客栈（游客接待中心店）</t>
        </is>
      </c>
      <c r="C8" s="11" t="n">
        <v>135.75</v>
      </c>
      <c r="D8" s="11">
        <f>IF(C8="","",C8/2)</f>
        <v/>
      </c>
      <c r="E8" s="10" t="n"/>
    </row>
    <row r="9">
      <c r="A9" s="10" t="n"/>
      <c r="B9" s="10" t="inlineStr">
        <is>
          <t>如家酒店·neo（成都春熙路太古裏書院街店）</t>
        </is>
      </c>
      <c r="C9" s="11" t="n">
        <v>321.33</v>
      </c>
      <c r="D9" s="11">
        <f>IF(C9="","",C9/2)</f>
        <v/>
      </c>
      <c r="E9" s="10" t="n"/>
    </row>
    <row r="10">
      <c r="A10" s="10" t="n"/>
      <c r="B10" s="10" t="inlineStr">
        <is>
          <t>雾归里江景行政公馆 (重庆南滨路喜马拉雅店)</t>
        </is>
      </c>
      <c r="C10" s="11" t="n">
        <v>410.54</v>
      </c>
      <c r="D10" s="11">
        <f>IF(C10="","",C10/2)</f>
        <v/>
      </c>
      <c r="E10" s="10" t="n"/>
    </row>
    <row r="11">
      <c r="A11" s="8" t="inlineStr">
        <is>
          <t>高铁</t>
        </is>
      </c>
      <c r="B11" s="10" t="inlineStr">
        <is>
          <t>重庆东站 -&gt; 武隆南站</t>
        </is>
      </c>
      <c r="C11" s="11" t="n">
        <v>90.43000000000001</v>
      </c>
      <c r="D11" s="11">
        <f>IF(C11="","",C11/2)</f>
        <v/>
      </c>
      <c r="E11" s="12">
        <f>SUM(D11:D13)</f>
        <v/>
      </c>
    </row>
    <row r="12">
      <c r="A12" s="10" t="n"/>
      <c r="B12" s="10" t="inlineStr">
        <is>
          <t>武隆南站 -&gt; 成都东站</t>
        </is>
      </c>
      <c r="C12" s="11" t="n">
        <v>292.23</v>
      </c>
      <c r="D12" s="11">
        <f>IF(C12="","",C12/2)</f>
        <v/>
      </c>
      <c r="E12" s="10" t="n"/>
    </row>
    <row r="13">
      <c r="A13" s="10" t="n"/>
      <c r="B13" s="10" t="inlineStr">
        <is>
          <t>成都东站 -&gt; 重庆北站</t>
        </is>
      </c>
      <c r="C13" s="11" t="n">
        <v>187.45</v>
      </c>
      <c r="D13" s="11">
        <f>IF(C13="","",C13/2)</f>
        <v/>
      </c>
      <c r="E13" s="10" t="n"/>
    </row>
    <row r="14">
      <c r="A14" s="8" t="inlineStr">
        <is>
          <t>公共交通</t>
        </is>
      </c>
      <c r="B14" s="10" t="inlineStr">
        <is>
          <t>滴滴</t>
        </is>
      </c>
      <c r="C14" s="11" t="n">
        <v>163.13</v>
      </c>
      <c r="D14" s="11">
        <f>IF(C14="","",C14/2)</f>
        <v/>
      </c>
      <c r="E14" s="12">
        <f>SUM(D14:D16)</f>
        <v/>
      </c>
    </row>
    <row r="15">
      <c r="A15" s="10" t="n"/>
      <c r="B15" s="10" t="inlineStr">
        <is>
          <t>地铁</t>
        </is>
      </c>
      <c r="C15" s="11" t="n">
        <v>29.39</v>
      </c>
      <c r="D15" s="11">
        <f>IF(C15="","",C15/2)</f>
        <v/>
      </c>
      <c r="E15" s="10" t="n"/>
    </row>
    <row r="16">
      <c r="A16" s="10" t="n"/>
      <c r="B16" s="10" t="inlineStr">
        <is>
          <t>巴士</t>
        </is>
      </c>
      <c r="C16" s="11" t="n">
        <v>110.78</v>
      </c>
      <c r="D16" s="11">
        <f>IF(C16="","",C16/2)</f>
        <v/>
      </c>
      <c r="E16" s="10" t="n"/>
    </row>
    <row r="17">
      <c r="A17" s="8" t="inlineStr">
        <is>
          <t>节目</t>
        </is>
      </c>
      <c r="B17" s="10" t="inlineStr">
        <is>
          <t>重慶·1949</t>
        </is>
      </c>
      <c r="C17" s="11" t="n">
        <v>369.86</v>
      </c>
      <c r="D17" s="11">
        <f>IF(C17="","",C17/2)</f>
        <v/>
      </c>
      <c r="E17" s="12">
        <f>SUM(D17:D24)</f>
        <v/>
      </c>
    </row>
    <row r="18">
      <c r="A18" s="10" t="n"/>
      <c r="B18" s="10" t="inlineStr">
        <is>
          <t>猫猫主题公园</t>
        </is>
      </c>
      <c r="C18" s="11" t="n">
        <v>22.49</v>
      </c>
      <c r="D18" s="11">
        <f>IF(C18="","",C18/2)</f>
        <v/>
      </c>
      <c r="E18" s="10" t="n"/>
    </row>
    <row r="19">
      <c r="A19" s="10" t="n"/>
      <c r="B19" s="10" t="inlineStr">
        <is>
          <t>天生三桥</t>
        </is>
      </c>
      <c r="C19" s="11" t="n">
        <v>175.21</v>
      </c>
      <c r="D19" s="11">
        <f>IF(C19="","",C19/2)</f>
        <v/>
      </c>
      <c r="E19" s="10" t="n"/>
    </row>
    <row r="20">
      <c r="A20" s="10" t="n"/>
      <c r="B20" s="10" t="inlineStr">
        <is>
          <t>仙女山</t>
        </is>
      </c>
      <c r="C20" s="11" t="n">
        <v>84.78</v>
      </c>
      <c r="D20" s="11">
        <f>IF(C20="","",C20/2)</f>
        <v/>
      </c>
      <c r="E20" s="10" t="n"/>
    </row>
    <row r="21">
      <c r="A21" s="10" t="n"/>
      <c r="B21" s="10" t="inlineStr">
        <is>
          <t>熊猫基地</t>
        </is>
      </c>
      <c r="C21" s="11" t="n">
        <v>96.08</v>
      </c>
      <c r="D21" s="11">
        <f>IF(C21="","",C21/2)</f>
        <v/>
      </c>
      <c r="E21" s="10" t="n"/>
    </row>
    <row r="22">
      <c r="A22" s="10" t="n"/>
      <c r="B22" s="10" t="inlineStr">
        <is>
          <t>成都植物园</t>
        </is>
      </c>
      <c r="C22" s="11" t="n">
        <v>11.3</v>
      </c>
      <c r="D22" s="11">
        <f>IF(C22="","",C22/2)</f>
        <v/>
      </c>
      <c r="E22" s="10" t="n"/>
    </row>
    <row r="23">
      <c r="A23" s="10" t="n"/>
      <c r="B23" s="10" t="inlineStr">
        <is>
          <t>三星堆</t>
        </is>
      </c>
      <c r="C23" s="11" t="n">
        <v>81.39</v>
      </c>
      <c r="D23" s="11">
        <f>IF(C23="","",C23/2)</f>
        <v/>
      </c>
      <c r="E23" s="10" t="n"/>
    </row>
    <row r="24">
      <c r="A24" s="10" t="n"/>
      <c r="B24" s="10" t="inlineStr">
        <is>
          <t>它它派对</t>
        </is>
      </c>
      <c r="C24" s="11" t="n">
        <v>67.26000000000001</v>
      </c>
      <c r="D24" s="11">
        <f>IF(C24="","",C24/2)</f>
        <v/>
      </c>
      <c r="E24" s="10" t="n"/>
    </row>
    <row r="25">
      <c r="A25" s="8" t="inlineStr">
        <is>
          <t>吃喝买</t>
        </is>
      </c>
      <c r="B25" s="10" t="inlineStr">
        <is>
          <t>全部</t>
        </is>
      </c>
      <c r="C25" s="11" t="n">
        <v>1812.6</v>
      </c>
      <c r="D25" s="11">
        <f>IF(C25="","",C25/2)</f>
        <v/>
      </c>
      <c r="E25" s="12">
        <f>SUM(D25:D25)</f>
        <v/>
      </c>
    </row>
    <row r="26">
      <c r="A26" s="8" t="inlineStr">
        <is>
          <t>其他</t>
        </is>
      </c>
      <c r="B26" s="10" t="inlineStr">
        <is>
          <t>电话卡</t>
        </is>
      </c>
      <c r="C26" s="11" t="n">
        <v>126.97</v>
      </c>
      <c r="D26" s="11">
        <f>IF(C26="","",C26/2)</f>
        <v/>
      </c>
      <c r="E26" s="12">
        <f>SUM(D26:D26)</f>
        <v/>
      </c>
    </row>
    <row r="27">
      <c r="A27" s="13" t="n"/>
      <c r="B27" s="13" t="n"/>
      <c r="C27" s="14">
        <f>SUM(C6:C26)</f>
        <v/>
      </c>
      <c r="D27" s="14">
        <f>SUM(D6:D26)</f>
        <v/>
      </c>
      <c r="E27" s="13" t="n"/>
    </row>
  </sheetData>
  <mergeCells count="8">
    <mergeCell ref="E17:E24"/>
    <mergeCell ref="A7:A10"/>
    <mergeCell ref="A17:A24"/>
    <mergeCell ref="A11:A13"/>
    <mergeCell ref="E11:E13"/>
    <mergeCell ref="E14:E16"/>
    <mergeCell ref="A14:A16"/>
    <mergeCell ref="E7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2026-09-30T13:00:19Z</dcterms:created>
  <dcterms:modified xsi:type="dcterms:W3CDTF">2026-09-30T13:00:19Z</dcterms:modified>
</cp:coreProperties>
</file>